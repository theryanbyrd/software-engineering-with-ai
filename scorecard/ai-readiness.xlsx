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Scorecard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2A38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0" pivotButton="0" quotePrefix="0" xfId="0"/>
    <xf numFmtId="9" fontId="2" fillId="0" borderId="0" pivotButton="0" quotePrefix="0" xfId="0"/>
    <xf numFmtId="0" fontId="1" fillId="2" borderId="0" pivotButton="0" quotePrefix="0" xfId="0"/>
    <xf numFmtId="9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D6F0D8"/>
        </patternFill>
      </fill>
    </dxf>
    <dxf>
      <fill>
        <patternFill patternType="solid">
          <fgColor rgb="00FFF3CC"/>
        </patternFill>
      </fill>
    </dxf>
    <dxf>
      <fill>
        <patternFill patternType="solid">
          <fgColor rgb="00F8D7D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AI Readiness Scorecard — Appendix H</t>
        </is>
      </c>
    </row>
    <row r="2">
      <c r="A2" t="inlineStr">
        <is>
          <t>Companion to 'Software Engineering with AI' by Ryan Byrd.</t>
        </is>
      </c>
    </row>
    <row r="3">
      <c r="A3" t="inlineStr"/>
    </row>
    <row r="4">
      <c r="A4" t="inlineStr">
        <is>
          <t>1. Go to the Scorecard tab. For each criterion, pick pass / partial / fail in the Status column.</t>
        </is>
      </c>
    </row>
    <row r="5">
      <c r="A5" t="inlineStr">
        <is>
          <t xml:space="preserve">   pass = fully present  |  partial = present but weak  |  fail/blank = absent</t>
        </is>
      </c>
    </row>
    <row r="6">
      <c r="A6" t="inlineStr">
        <is>
          <t>2. Score, TOTAL, PERCENT, and READINESS compute automatically. Weights: 1=nice-to-have, 2=important, 3=critical.</t>
        </is>
      </c>
    </row>
    <row r="7">
      <c r="A7" t="inlineStr">
        <is>
          <t>3. The Summary tab breaks the score down by category.</t>
        </is>
      </c>
    </row>
    <row r="8">
      <c r="A8" t="inlineStr"/>
    </row>
    <row r="9">
      <c r="A9" t="inlineStr">
        <is>
          <t>Bands: &lt;40% Not ready  |  40-69% Partial  |  70-89% Solid  |  90%+ Exemplary.</t>
        </is>
      </c>
    </row>
    <row r="10">
      <c r="A10" t="inlineStr">
        <is>
          <t>Prefer the automated version when you have the repo on disk: scripts/ai-readiness-audit.py (same criteria).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8" customWidth="1" min="2" max="2"/>
    <col width="22" customWidth="1" min="3" max="3"/>
    <col width="8" customWidth="1" min="4" max="4"/>
    <col width="12" customWidth="1" min="5" max="5"/>
    <col width="8" customWidth="1" min="6" max="6"/>
  </cols>
  <sheetData>
    <row r="1">
      <c r="A1" s="2" t="inlineStr">
        <is>
          <t>Category</t>
        </is>
      </c>
      <c r="B1" s="2" t="inlineStr">
        <is>
          <t>Criterion</t>
        </is>
      </c>
      <c r="C1" s="2" t="inlineStr">
        <is>
          <t>Chapter</t>
        </is>
      </c>
      <c r="D1" s="3" t="inlineStr">
        <is>
          <t>Weight</t>
        </is>
      </c>
      <c r="E1" s="3" t="inlineStr">
        <is>
          <t>Status</t>
        </is>
      </c>
      <c r="F1" s="3" t="inlineStr">
        <is>
          <t>Score</t>
        </is>
      </c>
    </row>
    <row r="2">
      <c r="A2" s="4" t="inlineStr">
        <is>
          <t>Repo legibility</t>
        </is>
      </c>
      <c r="B2" s="4" t="inlineStr">
        <is>
          <t>CLAUDE.md exists at repo root</t>
        </is>
      </c>
      <c r="C2" s="4" t="inlineStr">
        <is>
          <t>Ch 6, Appendix A</t>
        </is>
      </c>
      <c r="D2" s="4" t="n">
        <v>3</v>
      </c>
      <c r="E2" s="4" t="inlineStr"/>
      <c r="F2" s="4">
        <f>IF(E2="pass",D2,IF(E2="partial",D2/2,0))</f>
        <v/>
      </c>
    </row>
    <row r="3">
      <c r="A3" s="4" t="inlineStr">
        <is>
          <t>Repo legibility</t>
        </is>
      </c>
      <c r="B3" s="4" t="inlineStr">
        <is>
          <t>AGENTS.md exists (cross-vendor agent guidance)</t>
        </is>
      </c>
      <c r="C3" s="4" t="inlineStr">
        <is>
          <t>Ch 6, Appendix B</t>
        </is>
      </c>
      <c r="D3" s="4" t="n">
        <v>2</v>
      </c>
      <c r="E3" s="4" t="inlineStr"/>
      <c r="F3" s="4">
        <f>IF(E3="pass",D3,IF(E3="partial",D3/2,0))</f>
        <v/>
      </c>
    </row>
    <row r="4">
      <c r="A4" s="4" t="inlineStr">
        <is>
          <t>Repo legibility</t>
        </is>
      </c>
      <c r="B4" s="4" t="inlineStr">
        <is>
          <t>llms.txt exists (repo route map)</t>
        </is>
      </c>
      <c r="C4" s="4" t="inlineStr">
        <is>
          <t>Ch 6 §6.5.3</t>
        </is>
      </c>
      <c r="D4" s="4" t="n">
        <v>1</v>
      </c>
      <c r="E4" s="4" t="inlineStr"/>
      <c r="F4" s="4">
        <f>IF(E4="pass",D4,IF(E4="partial",D4/2,0))</f>
        <v/>
      </c>
    </row>
    <row r="5">
      <c r="A5" s="4" t="inlineStr">
        <is>
          <t>Repo legibility</t>
        </is>
      </c>
      <c r="B5" s="4" t="inlineStr">
        <is>
          <t>README.md exists</t>
        </is>
      </c>
      <c r="C5" s="4" t="inlineStr">
        <is>
          <t>Ch 6 §6.4</t>
        </is>
      </c>
      <c r="D5" s="4" t="n">
        <v>2</v>
      </c>
      <c r="E5" s="4" t="inlineStr"/>
      <c r="F5" s="4">
        <f>IF(E5="pass",D5,IF(E5="partial",D5/2,0))</f>
        <v/>
      </c>
    </row>
    <row r="6">
      <c r="A6" s="4" t="inlineStr">
        <is>
          <t>Repo legibility</t>
        </is>
      </c>
      <c r="B6" s="4" t="inlineStr">
        <is>
          <t>Per-package READMEs in monorepos</t>
        </is>
      </c>
      <c r="C6" s="4" t="inlineStr">
        <is>
          <t>Ch 10, Ch 12</t>
        </is>
      </c>
      <c r="D6" s="4" t="n">
        <v>1</v>
      </c>
      <c r="E6" s="4" t="inlineStr"/>
      <c r="F6" s="4">
        <f>IF(E6="pass",D6,IF(E6="partial",D6/2,0))</f>
        <v/>
      </c>
    </row>
    <row r="7">
      <c r="A7" s="4" t="inlineStr">
        <is>
          <t>Verify command</t>
        </is>
      </c>
      <c r="B7" s="4" t="inlineStr">
        <is>
          <t>verify command defined</t>
        </is>
      </c>
      <c r="C7" s="4" t="inlineStr">
        <is>
          <t>Ch 7</t>
        </is>
      </c>
      <c r="D7" s="4" t="n">
        <v>3</v>
      </c>
      <c r="E7" s="4" t="inlineStr"/>
      <c r="F7" s="4">
        <f>IF(E7="pass",D7,IF(E7="partial",D7/2,0))</f>
        <v/>
      </c>
    </row>
    <row r="8">
      <c r="A8" s="4" t="inlineStr">
        <is>
          <t>Verify command</t>
        </is>
      </c>
      <c r="B8" s="4" t="inlineStr">
        <is>
          <t>Verify pipeline includes lint</t>
        </is>
      </c>
      <c r="C8" s="4" t="inlineStr">
        <is>
          <t>Ch 7</t>
        </is>
      </c>
      <c r="D8" s="4" t="n">
        <v>2</v>
      </c>
      <c r="E8" s="4" t="inlineStr"/>
      <c r="F8" s="4">
        <f>IF(E8="pass",D8,IF(E8="partial",D8/2,0))</f>
        <v/>
      </c>
    </row>
    <row r="9">
      <c r="A9" s="4" t="inlineStr">
        <is>
          <t>Verify command</t>
        </is>
      </c>
      <c r="B9" s="4" t="inlineStr">
        <is>
          <t>Verify pipeline includes typecheck/format</t>
        </is>
      </c>
      <c r="C9" s="4" t="inlineStr">
        <is>
          <t>Ch 7</t>
        </is>
      </c>
      <c r="D9" s="4" t="n">
        <v>2</v>
      </c>
      <c r="E9" s="4" t="inlineStr"/>
      <c r="F9" s="4">
        <f>IF(E9="pass",D9,IF(E9="partial",D9/2,0))</f>
        <v/>
      </c>
    </row>
    <row r="10">
      <c r="A10" s="4" t="inlineStr">
        <is>
          <t>Verify command</t>
        </is>
      </c>
      <c r="B10" s="4" t="inlineStr">
        <is>
          <t>Verify pipeline includes tests</t>
        </is>
      </c>
      <c r="C10" s="4" t="inlineStr">
        <is>
          <t>Ch 7</t>
        </is>
      </c>
      <c r="D10" s="4" t="n">
        <v>3</v>
      </c>
      <c r="E10" s="4" t="inlineStr"/>
      <c r="F10" s="4">
        <f>IF(E10="pass",D10,IF(E10="partial",D10/2,0))</f>
        <v/>
      </c>
    </row>
    <row r="11">
      <c r="A11" s="4" t="inlineStr">
        <is>
          <t>Test discipline</t>
        </is>
      </c>
      <c r="B11" s="4" t="inlineStr">
        <is>
          <t>Test files exist</t>
        </is>
      </c>
      <c r="C11" s="4" t="inlineStr">
        <is>
          <t>Ch 8</t>
        </is>
      </c>
      <c r="D11" s="4" t="n">
        <v>3</v>
      </c>
      <c r="E11" s="4" t="inlineStr"/>
      <c r="F11" s="4">
        <f>IF(E11="pass",D11,IF(E11="partial",D11/2,0))</f>
        <v/>
      </c>
    </row>
    <row r="12">
      <c r="A12" s="4" t="inlineStr">
        <is>
          <t>Test discipline</t>
        </is>
      </c>
      <c r="B12" s="4" t="inlineStr">
        <is>
          <t>CI workflow exists</t>
        </is>
      </c>
      <c r="C12" s="4" t="inlineStr">
        <is>
          <t>Ch 8</t>
        </is>
      </c>
      <c r="D12" s="4" t="n">
        <v>2</v>
      </c>
      <c r="E12" s="4" t="inlineStr"/>
      <c r="F12" s="4">
        <f>IF(E12="pass",D12,IF(E12="partial",D12/2,0))</f>
        <v/>
      </c>
    </row>
    <row r="13">
      <c r="A13" s="4" t="inlineStr">
        <is>
          <t>Harness</t>
        </is>
      </c>
      <c r="B13" s="4" t="inlineStr">
        <is>
          <t>.claude/ directory exists</t>
        </is>
      </c>
      <c r="C13" s="4" t="inlineStr">
        <is>
          <t>Ch 13-15</t>
        </is>
      </c>
      <c r="D13" s="4" t="n">
        <v>3</v>
      </c>
      <c r="E13" s="4" t="inlineStr"/>
      <c r="F13" s="4">
        <f>IF(E13="pass",D13,IF(E13="partial",D13/2,0))</f>
        <v/>
      </c>
    </row>
    <row r="14">
      <c r="A14" s="4" t="inlineStr">
        <is>
          <t>Harness</t>
        </is>
      </c>
      <c r="B14" s="4" t="inlineStr">
        <is>
          <t>At least one skill defined</t>
        </is>
      </c>
      <c r="C14" s="4" t="inlineStr">
        <is>
          <t>Ch 13, Appendix E</t>
        </is>
      </c>
      <c r="D14" s="4" t="n">
        <v>3</v>
      </c>
      <c r="E14" s="4" t="inlineStr"/>
      <c r="F14" s="4">
        <f>IF(E14="pass",D14,IF(E14="partial",D14/2,0))</f>
        <v/>
      </c>
    </row>
    <row r="15">
      <c r="A15" s="4" t="inlineStr">
        <is>
          <t>Harness</t>
        </is>
      </c>
      <c r="B15" s="4" t="inlineStr">
        <is>
          <t>Subagents defined (.claude/agents)</t>
        </is>
      </c>
      <c r="C15" s="4" t="inlineStr">
        <is>
          <t>Ch 14, Appendix F</t>
        </is>
      </c>
      <c r="D15" s="4" t="n">
        <v>2</v>
      </c>
      <c r="E15" s="4" t="inlineStr"/>
      <c r="F15" s="4">
        <f>IF(E15="pass",D15,IF(E15="partial",D15/2,0))</f>
        <v/>
      </c>
    </row>
    <row r="16">
      <c r="A16" s="4" t="inlineStr">
        <is>
          <t>Harness</t>
        </is>
      </c>
      <c r="B16" s="4" t="inlineStr">
        <is>
          <t>Hooks configured</t>
        </is>
      </c>
      <c r="C16" s="4" t="inlineStr">
        <is>
          <t>Ch 15, Appendix G</t>
        </is>
      </c>
      <c r="D16" s="4" t="n">
        <v>3</v>
      </c>
      <c r="E16" s="4" t="inlineStr"/>
      <c r="F16" s="4">
        <f>IF(E16="pass",D16,IF(E16="partial",D16/2,0))</f>
        <v/>
      </c>
    </row>
    <row r="17">
      <c r="A17" s="4" t="inlineStr">
        <is>
          <t>PR discipline</t>
        </is>
      </c>
      <c r="B17" s="4" t="inlineStr">
        <is>
          <t>PR template exists</t>
        </is>
      </c>
      <c r="C17" s="4" t="inlineStr">
        <is>
          <t>Ch 21, Appendix D</t>
        </is>
      </c>
      <c r="D17" s="4" t="n">
        <v>2</v>
      </c>
      <c r="E17" s="4" t="inlineStr"/>
      <c r="F17" s="4">
        <f>IF(E17="pass",D17,IF(E17="partial",D17/2,0))</f>
        <v/>
      </c>
    </row>
    <row r="18">
      <c r="A18" s="4" t="inlineStr">
        <is>
          <t>PR discipline</t>
        </is>
      </c>
      <c r="B18" s="4" t="inlineStr">
        <is>
          <t>PR template mentions AI authorship</t>
        </is>
      </c>
      <c r="C18" s="4" t="inlineStr">
        <is>
          <t>Ch 21, Ch 31 §31.6</t>
        </is>
      </c>
      <c r="D18" s="4" t="n">
        <v>2</v>
      </c>
      <c r="E18" s="4" t="inlineStr"/>
      <c r="F18" s="4">
        <f>IF(E18="pass",D18,IF(E18="partial",D18/2,0))</f>
        <v/>
      </c>
    </row>
    <row r="19">
      <c r="A19" s="4" t="inlineStr">
        <is>
          <t>PR discipline</t>
        </is>
      </c>
      <c r="B19" s="4" t="inlineStr">
        <is>
          <t>CODEOWNERS file exists</t>
        </is>
      </c>
      <c r="C19" s="4" t="inlineStr">
        <is>
          <t>Ch 21</t>
        </is>
      </c>
      <c r="D19" s="4" t="n">
        <v>1</v>
      </c>
      <c r="E19" s="4" t="inlineStr"/>
      <c r="F19" s="4">
        <f>IF(E19="pass",D19,IF(E19="partial",D19/2,0))</f>
        <v/>
      </c>
    </row>
    <row r="20">
      <c r="A20" s="4" t="inlineStr">
        <is>
          <t>Governance</t>
        </is>
      </c>
      <c r="B20" s="4" t="inlineStr">
        <is>
          <t>SECURITY.md exists</t>
        </is>
      </c>
      <c r="C20" s="4" t="inlineStr">
        <is>
          <t>Ch 30</t>
        </is>
      </c>
      <c r="D20" s="4" t="n">
        <v>2</v>
      </c>
      <c r="E20" s="4" t="inlineStr"/>
      <c r="F20" s="4">
        <f>IF(E20="pass",D20,IF(E20="partial",D20/2,0))</f>
        <v/>
      </c>
    </row>
    <row r="21">
      <c r="A21" s="4" t="inlineStr">
        <is>
          <t>Cost &amp; observability</t>
        </is>
      </c>
      <c r="B21" s="4" t="inlineStr">
        <is>
          <t>Cost telemetry / token tracking referenced</t>
        </is>
      </c>
      <c r="C21" s="4" t="inlineStr">
        <is>
          <t>Ch 26, Ch 29</t>
        </is>
      </c>
      <c r="D21" s="4" t="n">
        <v>2</v>
      </c>
      <c r="E21" s="4" t="inlineStr"/>
      <c r="F21" s="4">
        <f>IF(E21="pass",D21,IF(E21="partial",D21/2,0))</f>
        <v/>
      </c>
    </row>
    <row r="22">
      <c r="A22" s="4" t="inlineStr">
        <is>
          <t>Governance</t>
        </is>
      </c>
      <c r="B22" s="4" t="inlineStr">
        <is>
          <t>Data classification policy referenced</t>
        </is>
      </c>
      <c r="C22" s="4" t="inlineStr">
        <is>
          <t>Ch 34</t>
        </is>
      </c>
      <c r="D22" s="4" t="n">
        <v>2</v>
      </c>
      <c r="E22" s="4" t="inlineStr"/>
      <c r="F22" s="4">
        <f>IF(E22="pass",D22,IF(E22="partial",D22/2,0))</f>
        <v/>
      </c>
    </row>
    <row r="23">
      <c r="A23" s="4" t="inlineStr">
        <is>
          <t>Governance</t>
        </is>
      </c>
      <c r="B23" s="4" t="inlineStr">
        <is>
          <t>AI-aware incident response runbook</t>
        </is>
      </c>
      <c r="C23" s="4" t="inlineStr">
        <is>
          <t>Ch 39</t>
        </is>
      </c>
      <c r="D23" s="4" t="n">
        <v>1</v>
      </c>
      <c r="E23" s="4" t="inlineStr"/>
      <c r="F23" s="4">
        <f>IF(E23="pass",D23,IF(E23="partial",D23/2,0))</f>
        <v/>
      </c>
    </row>
    <row r="24">
      <c r="A24" s="4" t="inlineStr">
        <is>
          <t>Governance</t>
        </is>
      </c>
      <c r="B24" s="4" t="inlineStr">
        <is>
          <t>.claude/settings.json has explicit permissions</t>
        </is>
      </c>
      <c r="C24" s="4" t="inlineStr">
        <is>
          <t>Ch 17, Ch 32</t>
        </is>
      </c>
      <c r="D24" s="4" t="n">
        <v>2</v>
      </c>
      <c r="E24" s="4" t="inlineStr"/>
      <c r="F24" s="4">
        <f>IF(E24="pass",D24,IF(E24="partial",D24/2,0))</f>
        <v/>
      </c>
    </row>
    <row r="25">
      <c r="C25" s="5" t="inlineStr">
        <is>
          <t>TOTAL</t>
        </is>
      </c>
      <c r="D25" s="5">
        <f>SUM(D2:D24)</f>
        <v/>
      </c>
      <c r="F25" s="5">
        <f>SUM(F2:F24)</f>
        <v/>
      </c>
    </row>
    <row r="26">
      <c r="C26" s="5" t="inlineStr">
        <is>
          <t>PERCENT</t>
        </is>
      </c>
      <c r="F26" s="6">
        <f>IF(D25=0,0,F25/D25)</f>
        <v/>
      </c>
    </row>
    <row r="27">
      <c r="C27" s="5" t="inlineStr">
        <is>
          <t>READINESS</t>
        </is>
      </c>
      <c r="F27" s="5">
        <f>IF(F26&gt;=0.9,"Exemplary",IF(F26&gt;=0.7,"Solid",IF(F26&gt;=0.4,"Partial — close the criticals","Not ready — start with CLAUDE.md + verify + hooks")))</f>
        <v/>
      </c>
    </row>
  </sheetData>
  <conditionalFormatting sqref="E2:E24">
    <cfRule type="expression" priority="1" dxfId="0">
      <formula>$E2="pass"</formula>
    </cfRule>
    <cfRule type="expression" priority="2" dxfId="1">
      <formula>$E2="partial"</formula>
    </cfRule>
    <cfRule type="expression" priority="3" dxfId="2">
      <formula>$E2="fail"</formula>
    </cfRule>
  </conditionalFormatting>
  <dataValidations count="1">
    <dataValidation sqref="E2:E24" showDropDown="0" showInputMessage="0" showErrorMessage="0" allowBlank="1" type="list">
      <formula1>"pass,partial,fail"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8" customWidth="1" min="4" max="4"/>
  </cols>
  <sheetData>
    <row r="1">
      <c r="A1" s="7" t="inlineStr">
        <is>
          <t>Category</t>
        </is>
      </c>
      <c r="B1" s="7" t="inlineStr">
        <is>
          <t>Earned</t>
        </is>
      </c>
      <c r="C1" s="7" t="inlineStr">
        <is>
          <t>Possible</t>
        </is>
      </c>
      <c r="D1" s="7" t="inlineStr">
        <is>
          <t>%</t>
        </is>
      </c>
    </row>
    <row r="2">
      <c r="A2" t="inlineStr">
        <is>
          <t>Repo legibility</t>
        </is>
      </c>
      <c r="B2">
        <f>SUMIF(Scorecard!A:A,A2,Scorecard!F:F)</f>
        <v/>
      </c>
      <c r="C2">
        <f>SUMIF(Scorecard!A:A,A2,Scorecard!D:D)</f>
        <v/>
      </c>
      <c r="D2" s="8">
        <f>IF(C2=0,0,B2/C2)</f>
        <v/>
      </c>
    </row>
    <row r="3">
      <c r="A3" t="inlineStr">
        <is>
          <t>Verify command</t>
        </is>
      </c>
      <c r="B3">
        <f>SUMIF(Scorecard!A:A,A3,Scorecard!F:F)</f>
        <v/>
      </c>
      <c r="C3">
        <f>SUMIF(Scorecard!A:A,A3,Scorecard!D:D)</f>
        <v/>
      </c>
      <c r="D3" s="8">
        <f>IF(C3=0,0,B3/C3)</f>
        <v/>
      </c>
    </row>
    <row r="4">
      <c r="A4" t="inlineStr">
        <is>
          <t>Test discipline</t>
        </is>
      </c>
      <c r="B4">
        <f>SUMIF(Scorecard!A:A,A4,Scorecard!F:F)</f>
        <v/>
      </c>
      <c r="C4">
        <f>SUMIF(Scorecard!A:A,A4,Scorecard!D:D)</f>
        <v/>
      </c>
      <c r="D4" s="8">
        <f>IF(C4=0,0,B4/C4)</f>
        <v/>
      </c>
    </row>
    <row r="5">
      <c r="A5" t="inlineStr">
        <is>
          <t>Harness</t>
        </is>
      </c>
      <c r="B5">
        <f>SUMIF(Scorecard!A:A,A5,Scorecard!F:F)</f>
        <v/>
      </c>
      <c r="C5">
        <f>SUMIF(Scorecard!A:A,A5,Scorecard!D:D)</f>
        <v/>
      </c>
      <c r="D5" s="8">
        <f>IF(C5=0,0,B5/C5)</f>
        <v/>
      </c>
    </row>
    <row r="6">
      <c r="A6" t="inlineStr">
        <is>
          <t>PR discipline</t>
        </is>
      </c>
      <c r="B6">
        <f>SUMIF(Scorecard!A:A,A6,Scorecard!F:F)</f>
        <v/>
      </c>
      <c r="C6">
        <f>SUMIF(Scorecard!A:A,A6,Scorecard!D:D)</f>
        <v/>
      </c>
      <c r="D6" s="8">
        <f>IF(C6=0,0,B6/C6)</f>
        <v/>
      </c>
    </row>
    <row r="7">
      <c r="A7" t="inlineStr">
        <is>
          <t>Governance</t>
        </is>
      </c>
      <c r="B7">
        <f>SUMIF(Scorecard!A:A,A7,Scorecard!F:F)</f>
        <v/>
      </c>
      <c r="C7">
        <f>SUMIF(Scorecard!A:A,A7,Scorecard!D:D)</f>
        <v/>
      </c>
      <c r="D7" s="8">
        <f>IF(C7=0,0,B7/C7)</f>
        <v/>
      </c>
    </row>
    <row r="8">
      <c r="A8" t="inlineStr">
        <is>
          <t>Cost &amp; observability</t>
        </is>
      </c>
      <c r="B8">
        <f>SUMIF(Scorecard!A:A,A8,Scorecard!F:F)</f>
        <v/>
      </c>
      <c r="C8">
        <f>SUMIF(Scorecard!A:A,A8,Scorecard!D:D)</f>
        <v/>
      </c>
      <c r="D8" s="8">
        <f>IF(C8=0,0,B8/C8)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2026-06-02T17:18:00Z</dcterms:created>
  <dcterms:modified xmlns:dcterms="http://purl.org/dc/terms/" xmlns:xsi="http://www.w3.org/2001/XMLSchema-instance" xsi:type="dcterms:W3CDTF">2026-06-02T17:18:00Z</dcterms:modified>
</cp:coreProperties>
</file>