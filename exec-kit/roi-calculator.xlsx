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Sensitivity" sheetId="2" state="visible" r:id="rId4"/>
    <sheet name="Foreca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<sst xmlns="http://schemas.openxmlformats.org/spreadsheetml/2006/main" count="89" uniqueCount="78">
  <si>
    <t xml:space="preserve">AI Engineering ROI Calculator</t>
  </si>
  <si>
    <t xml:space="preserve">Companion to Software Engineering with AI by Ryan Byrd · Ch 54 §54.5</t>
  </si>
  <si>
    <t xml:space="preserve">How to use this model</t>
  </si>
  <si>
    <t xml:space="preserve">Fill in the BLUE cells with your numbers. Black cells are formulas; do not edit. Yellow-highlighted cells are the key assumptions to revisit quarterly. Three scenarios (Conservative / Base / Aggressive) are computed automatically. Sensitivity analysis on the next sheet shows how ROI moves with the productivity gain assumption.</t>
  </si>
  <si>
    <t xml:space="preserve">Engineering org parameters</t>
  </si>
  <si>
    <t xml:space="preserve">Conservative</t>
  </si>
  <si>
    <t xml:space="preserve">Base</t>
  </si>
  <si>
    <t xml:space="preserve">Aggressive</t>
  </si>
  <si>
    <t xml:space="preserve">Total engineers (full org, AI users + non-users)</t>
  </si>
  <si>
    <t xml:space="preserve">Headcount as of plan date. Use total org, not just AI users.</t>
  </si>
  <si>
    <t xml:space="preserve">Loaded cost per engineer ($/year)</t>
  </si>
  <si>
    <t xml:space="preserve">Salary + benefits + overhead. Mid-size US 2026 typically $200K-$280K.</t>
  </si>
  <si>
    <t xml:space="preserve">Coding utilization factor</t>
  </si>
  <si>
    <t xml:space="preserve">Fraction of eng time on coding (vs meetings, support, on-call). Typical: 0.55-0.70.</t>
  </si>
  <si>
    <t xml:space="preserve">AI tool adoption rate</t>
  </si>
  <si>
    <t xml:space="preserve">Fraction of eligible engineers actively using AI tooling &gt;2x/week.</t>
  </si>
  <si>
    <t xml:space="preserve">Productivity gain on AI-assisted work</t>
  </si>
  <si>
    <t xml:space="preserve">Year 1: 5-15% prepared teams. Above 15% requires very mature harness.</t>
  </si>
  <si>
    <t xml:space="preserve">Annual cost inputs ($/year)</t>
  </si>
  <si>
    <t xml:space="preserve">Tooling spend (per-seat licenses, annual)</t>
  </si>
  <si>
    <t xml:space="preserve">Cursor / Copilot / Claude Code seats × N. Scale with adoption.</t>
  </si>
  <si>
    <t xml:space="preserve">Token / API spend (annual)</t>
  </si>
  <si>
    <t xml:space="preserve">Per-dev median × weeks × adopters. Higher with more agentic use.</t>
  </si>
  <si>
    <t xml:space="preserve">Harness investment (engineer time)</t>
  </si>
  <si>
    <t xml:space="preserve">FTE equivalent. 0.5 FTE for 60-eng org typical.</t>
  </si>
  <si>
    <t xml:space="preserve">Governance overhead (CISO, GC, legal)</t>
  </si>
  <si>
    <t xml:space="preserve">Vendor reviews, customer Q&amp;A, audits. Annual.</t>
  </si>
  <si>
    <t xml:space="preserve">ROI calculation</t>
  </si>
  <si>
    <t xml:space="preserve">Annual productivity gain ($)</t>
  </si>
  <si>
    <t xml:space="preserve">Formula: engineers × loaded cost × utilization × adoption × productivity gain</t>
  </si>
  <si>
    <t xml:space="preserve">Total annual cost ($)</t>
  </si>
  <si>
    <t xml:space="preserve">Tooling + Tokens + Harness + Governance</t>
  </si>
  <si>
    <t xml:space="preserve">Net ROI ($)</t>
  </si>
  <si>
    <t xml:space="preserve">ROI multiple (gain ÷ cost)</t>
  </si>
  <si>
    <t xml:space="preserve">Per-engineer net ROI ($)</t>
  </si>
  <si>
    <t xml:space="preserve">Notes for the CFO conversation</t>
  </si>
  <si>
    <t xml:space="preserve">•  Productivity gain is the most sensitive input. Each 1% is roughly $90K at 60 engineers. See Sensitivity sheet.</t>
  </si>
  <si>
    <t xml:space="preserve">•  Adoption rate is the second most sensitive. Realistic mid-size adoption is 60-80% in year 1.</t>
  </si>
  <si>
    <t xml:space="preserve">•  Token spend can swing 2-3x based on routing discipline (Sonnet vs Opus, retry control).</t>
  </si>
  <si>
    <t xml:space="preserve">•  Harness investment as engineer time is real cost; do not exclude it just because it's not a separate line item.</t>
  </si>
  <si>
    <t xml:space="preserve">•  Year 2 economics improve materially as harness compounds. This model is year 1.</t>
  </si>
  <si>
    <t xml:space="preserve">•  Substitution posture (cuts + AI) requires modifying the productivity gain assumption downward.</t>
  </si>
  <si>
    <t xml:space="preserve">Sensitivity Analysis — Net ROI by Productivity Gain</t>
  </si>
  <si>
    <t xml:space="preserve">Reads from Inputs!Base case for everything except productivity gain (varied across columns).</t>
  </si>
  <si>
    <t xml:space="preserve">Productivity gain →</t>
  </si>
  <si>
    <t xml:space="preserve">Productivity gain ($)</t>
  </si>
  <si>
    <t xml:space="preserve">Total cost ($)</t>
  </si>
  <si>
    <t xml:space="preserve">ROI multiple</t>
  </si>
  <si>
    <t xml:space="preserve">How to read this</t>
  </si>
  <si>
    <t xml:space="preserve">•  Each column is a scenario where productivity gain is the only thing that changes; all other Base assumptions hold.</t>
  </si>
  <si>
    <t xml:space="preserve">•  If your honest measured productivity gain is below 8%, you may not be net-positive. Audit cost discipline first.</t>
  </si>
  <si>
    <t xml:space="preserve">•  Above 15%, claims start to need exceptional evidence. Most mid-size teams should plan for 8-15% in year 1.</t>
  </si>
  <si>
    <t xml:space="preserve">•  The relationship is roughly linear — each 1% of productivity gain adds ~$90K to net ROI at 60 engineers.</t>
  </si>
  <si>
    <t xml:space="preserve">12-Month Token Spend Forecast</t>
  </si>
  <si>
    <t xml:space="preserve">Reads from Inputs sheet. Edit Inputs to update.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</si>
  <si>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</si>
  <si>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</si>
  <si>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</si>
  <si>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</si>
  <si>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</si>
  <si>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</si>
  <si>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</si>
  <si>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</si>
  <si>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</si>
  <si>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</si>
  <si>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</si>
  <si>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</si>
  <si>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</si>
  <si>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Annual</t>
  </si>
  <si>
    <t xml:space="preserve">Conservative scenario</t>
  </si>
  <si>
    <t xml:space="preserve">Monthly token spend ($)</t>
  </si>
  <si>
    <t xml:space="preserve">Cumulative ($)</t>
  </si>
  <si>
    <t xml:space="preserve">Base scenario</t>
  </si>
  <si>
    <t xml:space="preserve">Aggressive scenario</t>
  </si>
  <si>
    <t xml:space="preserve">Notes</t>
  </si>
  <si>
    <t xml:space="preserve">•  Forecast assumes a linear ramp from 50% to 100% of full token spend over the first 6 months. Adjust if your rollout is faster or slower.</t>
  </si>
  <si>
    <t xml:space="preserve">•  Add 15% buffer on top for batch workloads (test generation runs, mass refactors) not captured in per-developer median.</t>
  </si>
  <si>
    <t xml:space="preserve">•  If batch workloads are large in your org, model them as separate line items above.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</si>
</sst>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\$#,##0;&quot;($&quot;#,##0\);\-"/>
    <numFmt numFmtId="167" formatCode="0.0%;\(0.0%\);\-"/>
    <numFmt numFmtId="168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1"/>
      <color rgb="FF60606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0"/>
      <color rgb="FF60606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D9D9D9"/>
      </patternFill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DDEBF7"/>
      </patternFill>
    </fill>
    <fill>
      <patternFill patternType="solid">
        <fgColor rgb="FFD9D9D9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5" min="3" style="0" width="18"/>
    <col collapsed="false" customWidth="true" hidden="false" outlineLevel="0" max="6" min="6" style="0" width="5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49.5" hidden="false" customHeight="true" outlineLevel="0" collapsed="false">
      <c r="B6" s="4" t="s">
        <v>3</v>
      </c>
      <c r="C6" s="4"/>
      <c r="D6" s="4"/>
      <c r="E6" s="4"/>
      <c r="F6" s="4"/>
    </row>
    <row r="9" customFormat="false" ht="15" hidden="false" customHeight="false" outlineLevel="0" collapsed="false">
      <c r="B9" s="5" t="s">
        <v>4</v>
      </c>
      <c r="C9" s="5"/>
      <c r="D9" s="5"/>
      <c r="E9" s="5"/>
      <c r="F9" s="5"/>
    </row>
    <row r="10" customFormat="false" ht="15" hidden="false" customHeight="false" outlineLevel="0" collapsed="false">
      <c r="C10" s="6" t="s">
        <v>5</v>
      </c>
      <c r="D10" s="6" t="s">
        <v>6</v>
      </c>
      <c r="E10" s="6" t="s">
        <v>7</v>
      </c>
    </row>
    <row r="11" customFormat="false" ht="15" hidden="false" customHeight="false" outlineLevel="0" collapsed="false">
      <c r="B11" s="7" t="s">
        <v>8</v>
      </c>
      <c r="C11" s="8" t="n">
        <v>60</v>
      </c>
      <c r="D11" s="8" t="n">
        <v>60</v>
      </c>
      <c r="E11" s="8" t="n">
        <v>60</v>
      </c>
      <c r="F11" s="9" t="s">
        <v>9</v>
      </c>
    </row>
    <row r="12" customFormat="false" ht="15" hidden="false" customHeight="false" outlineLevel="0" collapsed="false">
      <c r="B12" s="7" t="s">
        <v>10</v>
      </c>
      <c r="C12" s="10" t="n">
        <v>220000</v>
      </c>
      <c r="D12" s="10" t="n">
        <v>240000</v>
      </c>
      <c r="E12" s="10" t="n">
        <v>260000</v>
      </c>
      <c r="F12" s="9" t="s">
        <v>11</v>
      </c>
    </row>
    <row r="13" customFormat="false" ht="15" hidden="false" customHeight="false" outlineLevel="0" collapsed="false">
      <c r="B13" s="7" t="s">
        <v>12</v>
      </c>
      <c r="C13" s="11" t="n">
        <v>0.55</v>
      </c>
      <c r="D13" s="11" t="n">
        <v>0.6</v>
      </c>
      <c r="E13" s="11" t="n">
        <v>0.65</v>
      </c>
      <c r="F13" s="9" t="s">
        <v>13</v>
      </c>
    </row>
    <row r="14" customFormat="false" ht="15" hidden="false" customHeight="false" outlineLevel="0" collapsed="false">
      <c r="B14" s="7" t="s">
        <v>14</v>
      </c>
      <c r="C14" s="11" t="n">
        <v>0.6</v>
      </c>
      <c r="D14" s="11" t="n">
        <v>0.8</v>
      </c>
      <c r="E14" s="11" t="n">
        <v>0.95</v>
      </c>
      <c r="F14" s="9" t="s">
        <v>15</v>
      </c>
    </row>
    <row r="15" customFormat="false" ht="15" hidden="false" customHeight="false" outlineLevel="0" collapsed="false">
      <c r="B15" s="7" t="s">
        <v>16</v>
      </c>
      <c r="C15" s="11" t="n">
        <v>0.08</v>
      </c>
      <c r="D15" s="11" t="n">
        <v>0.12</v>
      </c>
      <c r="E15" s="11" t="n">
        <v>0.18</v>
      </c>
      <c r="F15" s="9" t="s">
        <v>17</v>
      </c>
    </row>
    <row r="17" customFormat="false" ht="15" hidden="false" customHeight="false" outlineLevel="0" collapsed="false">
      <c r="B17" s="5" t="s">
        <v>18</v>
      </c>
      <c r="C17" s="5"/>
      <c r="D17" s="5"/>
      <c r="E17" s="5"/>
      <c r="F17" s="5"/>
    </row>
    <row r="18" customFormat="false" ht="15" hidden="false" customHeight="false" outlineLevel="0" collapsed="false">
      <c r="C18" s="6" t="s">
        <v>5</v>
      </c>
      <c r="D18" s="6" t="s">
        <v>6</v>
      </c>
      <c r="E18" s="6" t="s">
        <v>7</v>
      </c>
    </row>
    <row r="19" customFormat="false" ht="15" hidden="false" customHeight="false" outlineLevel="0" collapsed="false">
      <c r="B19" s="7" t="s">
        <v>19</v>
      </c>
      <c r="C19" s="12" t="n">
        <v>90000</v>
      </c>
      <c r="D19" s="12" t="n">
        <v>130000</v>
      </c>
      <c r="E19" s="12" t="n">
        <v>180000</v>
      </c>
      <c r="F19" s="9" t="s">
        <v>20</v>
      </c>
    </row>
    <row r="20" customFormat="false" ht="15" hidden="false" customHeight="false" outlineLevel="0" collapsed="false">
      <c r="B20" s="7" t="s">
        <v>21</v>
      </c>
      <c r="C20" s="12" t="n">
        <v>60000</v>
      </c>
      <c r="D20" s="12" t="n">
        <v>95000</v>
      </c>
      <c r="E20" s="12" t="n">
        <v>145000</v>
      </c>
      <c r="F20" s="9" t="s">
        <v>22</v>
      </c>
    </row>
    <row r="21" customFormat="false" ht="15" hidden="false" customHeight="false" outlineLevel="0" collapsed="false">
      <c r="B21" s="7" t="s">
        <v>23</v>
      </c>
      <c r="C21" s="12" t="n">
        <v>80000</v>
      </c>
      <c r="D21" s="12" t="n">
        <v>120000</v>
      </c>
      <c r="E21" s="12" t="n">
        <v>200000</v>
      </c>
      <c r="F21" s="9" t="s">
        <v>24</v>
      </c>
    </row>
    <row r="22" customFormat="false" ht="15" hidden="false" customHeight="false" outlineLevel="0" collapsed="false">
      <c r="B22" s="7" t="s">
        <v>25</v>
      </c>
      <c r="C22" s="12" t="n">
        <v>20000</v>
      </c>
      <c r="D22" s="12" t="n">
        <v>30000</v>
      </c>
      <c r="E22" s="12" t="n">
        <v>50000</v>
      </c>
      <c r="F22" s="9" t="s">
        <v>26</v>
      </c>
    </row>
    <row r="25" customFormat="false" ht="15" hidden="false" customHeight="false" outlineLevel="0" collapsed="false">
      <c r="B25" s="5" t="s">
        <v>27</v>
      </c>
      <c r="C25" s="5"/>
      <c r="D25" s="5"/>
      <c r="E25" s="5"/>
      <c r="F25" s="5"/>
    </row>
    <row r="26" customFormat="false" ht="15" hidden="false" customHeight="false" outlineLevel="0" collapsed="false">
      <c r="C26" s="6" t="s">
        <v>5</v>
      </c>
      <c r="D26" s="6" t="s">
        <v>6</v>
      </c>
      <c r="E26" s="6" t="s">
        <v>7</v>
      </c>
    </row>
    <row r="27" customFormat="false" ht="15" hidden="false" customHeight="false" outlineLevel="0" collapsed="false">
      <c r="B27" s="7" t="s">
        <v>28</v>
      </c>
      <c r="C27" s="13" t="n">
        <f aca="false">C11*C12*C13*C14*C15</f>
        <v>348480</v>
      </c>
      <c r="D27" s="13" t="n">
        <f aca="false">D11*D12*D13*D14*D15</f>
        <v>829440</v>
      </c>
      <c r="E27" s="13" t="n">
        <f aca="false">E11*E12*E13*E14*E15</f>
        <v>1733940</v>
      </c>
      <c r="F27" s="9" t="s">
        <v>29</v>
      </c>
    </row>
    <row r="28" customFormat="false" ht="15" hidden="false" customHeight="false" outlineLevel="0" collapsed="false">
      <c r="B28" s="7" t="s">
        <v>30</v>
      </c>
      <c r="C28" s="14" t="n">
        <f aca="false">SUM(C19:C22)</f>
        <v>250000</v>
      </c>
      <c r="D28" s="14" t="n">
        <f aca="false">SUM(D19:D22)</f>
        <v>375000</v>
      </c>
      <c r="E28" s="14" t="n">
        <f aca="false">SUM(E19:E22)</f>
        <v>575000</v>
      </c>
      <c r="F28" s="9" t="s">
        <v>31</v>
      </c>
    </row>
    <row r="29" customFormat="false" ht="15" hidden="false" customHeight="false" outlineLevel="0" collapsed="false">
      <c r="B29" s="7" t="s">
        <v>32</v>
      </c>
      <c r="C29" s="15" t="n">
        <f aca="false">C27-C28</f>
        <v>98480</v>
      </c>
      <c r="D29" s="15" t="n">
        <f aca="false">D27-D28</f>
        <v>454440</v>
      </c>
      <c r="E29" s="15" t="n">
        <f aca="false">E27-E28</f>
        <v>1158940</v>
      </c>
    </row>
    <row r="30" customFormat="false" ht="15" hidden="false" customHeight="false" outlineLevel="0" collapsed="false">
      <c r="B30" s="7" t="s">
        <v>33</v>
      </c>
      <c r="C30" s="16" t="n">
        <f aca="false">C27/C28</f>
        <v>1.39392</v>
      </c>
      <c r="D30" s="16" t="n">
        <f aca="false">D27/D28</f>
        <v>2.21184</v>
      </c>
      <c r="E30" s="16" t="n">
        <f aca="false">E27/E28</f>
        <v>3.01554782608696</v>
      </c>
    </row>
    <row r="31" customFormat="false" ht="15" hidden="false" customHeight="false" outlineLevel="0" collapsed="false">
      <c r="B31" s="7" t="s">
        <v>34</v>
      </c>
      <c r="C31" s="17" t="n">
        <f aca="false">C29/C11</f>
        <v>1641.33333333333</v>
      </c>
      <c r="D31" s="17" t="n">
        <f aca="false">D29/D11</f>
        <v>7574</v>
      </c>
      <c r="E31" s="17" t="n">
        <f aca="false">E29/E11</f>
        <v>19315.6666666667</v>
      </c>
    </row>
    <row r="34" customFormat="false" ht="15" hidden="false" customHeight="false" outlineLevel="0" collapsed="false">
      <c r="B34" s="5" t="s">
        <v>35</v>
      </c>
      <c r="C34" s="5"/>
      <c r="D34" s="5"/>
      <c r="E34" s="5"/>
      <c r="F34" s="5"/>
    </row>
    <row r="35" customFormat="false" ht="19.5" hidden="false" customHeight="true" outlineLevel="0" collapsed="false">
      <c r="B35" s="18" t="s">
        <v>36</v>
      </c>
      <c r="C35" s="18"/>
      <c r="D35" s="18"/>
      <c r="E35" s="18"/>
      <c r="F35" s="18"/>
    </row>
    <row r="36" customFormat="false" ht="19.5" hidden="false" customHeight="true" outlineLevel="0" collapsed="false">
      <c r="B36" s="18" t="s">
        <v>37</v>
      </c>
      <c r="C36" s="18"/>
      <c r="D36" s="18"/>
      <c r="E36" s="18"/>
      <c r="F36" s="18"/>
    </row>
    <row r="37" customFormat="false" ht="19.5" hidden="false" customHeight="true" outlineLevel="0" collapsed="false">
      <c r="B37" s="18" t="s">
        <v>38</v>
      </c>
      <c r="C37" s="18"/>
      <c r="D37" s="18"/>
      <c r="E37" s="18"/>
      <c r="F37" s="18"/>
    </row>
    <row r="38" customFormat="false" ht="19.5" hidden="false" customHeight="true" outlineLevel="0" collapsed="false">
      <c r="B38" s="18" t="s">
        <v>39</v>
      </c>
      <c r="C38" s="18"/>
      <c r="D38" s="18"/>
      <c r="E38" s="18"/>
      <c r="F38" s="18"/>
    </row>
    <row r="39" customFormat="false" ht="19.5" hidden="false" customHeight="true" outlineLevel="0" collapsed="false">
      <c r="B39" s="18" t="s">
        <v>40</v>
      </c>
      <c r="C39" s="18"/>
      <c r="D39" s="18"/>
      <c r="E39" s="18"/>
      <c r="F39" s="18"/>
    </row>
    <row r="40" customFormat="false" ht="19.5" hidden="false" customHeight="true" outlineLevel="0" collapsed="false">
      <c r="B40" s="18" t="s">
        <v>41</v>
      </c>
      <c r="C40" s="18"/>
      <c r="D40" s="18"/>
      <c r="E40" s="18"/>
      <c r="F40" s="18"/>
    </row>
  </sheetData>
  <mergeCells count="11">
    <mergeCell ref="B6:F6"/>
    <mergeCell ref="B9:F9"/>
    <mergeCell ref="B17:F17"/>
    <mergeCell ref="B25:F25"/>
    <mergeCell ref="B34:F34"/>
    <mergeCell ref="B35:F35"/>
    <mergeCell ref="B36:F36"/>
    <mergeCell ref="B37:F37"/>
    <mergeCell ref="B38:F38"/>
    <mergeCell ref="B39:F39"/>
    <mergeCell ref="B40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11" min="3" style="0" width="14"/>
  </cols>
  <sheetData>
    <row r="2" customFormat="false" ht="17.35" hidden="false" customHeight="false" outlineLevel="0" collapsed="false">
      <c r="B2" s="1" t="s">
        <v>42</v>
      </c>
    </row>
    <row r="3" customFormat="false" ht="15" hidden="false" customHeight="false" outlineLevel="0" collapsed="false">
      <c r="B3" s="2" t="s">
        <v>43</v>
      </c>
    </row>
    <row r="6" customFormat="false" ht="15" hidden="false" customHeight="false" outlineLevel="0" collapsed="false">
      <c r="B6" s="19" t="s">
        <v>44</v>
      </c>
      <c r="C6" s="20" t="n">
        <v>0.05</v>
      </c>
      <c r="D6" s="20" t="n">
        <v>0.08</v>
      </c>
      <c r="E6" s="20" t="n">
        <v>0.1</v>
      </c>
      <c r="F6" s="20" t="n">
        <v>0.12</v>
      </c>
      <c r="G6" s="20" t="n">
        <v>0.15</v>
      </c>
      <c r="H6" s="20" t="n">
        <v>0.18</v>
      </c>
      <c r="I6" s="20" t="n">
        <v>0.2</v>
      </c>
      <c r="J6" s="20" t="n">
        <v>0.25</v>
      </c>
    </row>
    <row r="8" customFormat="false" ht="15" hidden="false" customHeight="false" outlineLevel="0" collapsed="false">
      <c r="B8" s="7" t="s">
        <v>45</v>
      </c>
      <c r="C8" s="21" t="n">
        <f aca="false">Inputs!D11*Inputs!D12*Inputs!D13*Inputs!D14*C6</f>
        <v>345600</v>
      </c>
      <c r="D8" s="21" t="n">
        <f aca="false">Inputs!D11*Inputs!D12*Inputs!D13*Inputs!D14*D6</f>
        <v>552960</v>
      </c>
      <c r="E8" s="21" t="n">
        <f aca="false">Inputs!D11*Inputs!D12*Inputs!D13*Inputs!D14*E6</f>
        <v>691200</v>
      </c>
      <c r="F8" s="21" t="n">
        <f aca="false">Inputs!D11*Inputs!D12*Inputs!D13*Inputs!D14*F6</f>
        <v>829440</v>
      </c>
      <c r="G8" s="21" t="n">
        <f aca="false">Inputs!D11*Inputs!D12*Inputs!D13*Inputs!D14*G6</f>
        <v>1036800</v>
      </c>
      <c r="H8" s="21" t="n">
        <f aca="false">Inputs!D11*Inputs!D12*Inputs!D13*Inputs!D14*H6</f>
        <v>1244160</v>
      </c>
      <c r="I8" s="21" t="n">
        <f aca="false">Inputs!D11*Inputs!D12*Inputs!D13*Inputs!D14*I6</f>
        <v>1382400</v>
      </c>
      <c r="J8" s="21" t="n">
        <f aca="false">Inputs!D11*Inputs!D12*Inputs!D13*Inputs!D14*J6</f>
        <v>1728000</v>
      </c>
    </row>
    <row r="9" customFormat="false" ht="15" hidden="false" customHeight="false" outlineLevel="0" collapsed="false">
      <c r="B9" s="7" t="s">
        <v>46</v>
      </c>
      <c r="C9" s="21" t="n">
        <f aca="false">SUM(Inputs!D19:D22)</f>
        <v>375000</v>
      </c>
      <c r="D9" s="21" t="n">
        <f aca="false">SUM(Inputs!D19:D22)</f>
        <v>375000</v>
      </c>
      <c r="E9" s="21" t="n">
        <f aca="false">SUM(Inputs!D19:D22)</f>
        <v>375000</v>
      </c>
      <c r="F9" s="21" t="n">
        <f aca="false">SUM(Inputs!D19:D22)</f>
        <v>375000</v>
      </c>
      <c r="G9" s="21" t="n">
        <f aca="false">SUM(Inputs!D19:D22)</f>
        <v>375000</v>
      </c>
      <c r="H9" s="21" t="n">
        <f aca="false">SUM(Inputs!D19:D22)</f>
        <v>375000</v>
      </c>
      <c r="I9" s="21" t="n">
        <f aca="false">SUM(Inputs!D19:D22)</f>
        <v>375000</v>
      </c>
      <c r="J9" s="21" t="n">
        <f aca="false">SUM(Inputs!D19:D22)</f>
        <v>375000</v>
      </c>
    </row>
    <row r="10" customFormat="false" ht="15" hidden="false" customHeight="false" outlineLevel="0" collapsed="false">
      <c r="B10" s="7" t="s">
        <v>32</v>
      </c>
      <c r="C10" s="22" t="n">
        <f aca="false">C8-C9</f>
        <v>-29400</v>
      </c>
      <c r="D10" s="22" t="n">
        <f aca="false">D8-D9</f>
        <v>177960</v>
      </c>
      <c r="E10" s="22" t="n">
        <f aca="false">E8-E9</f>
        <v>316200</v>
      </c>
      <c r="F10" s="22" t="n">
        <f aca="false">F8-F9</f>
        <v>454440</v>
      </c>
      <c r="G10" s="22" t="n">
        <f aca="false">G8-G9</f>
        <v>661800</v>
      </c>
      <c r="H10" s="22" t="n">
        <f aca="false">H8-H9</f>
        <v>869160</v>
      </c>
      <c r="I10" s="22" t="n">
        <f aca="false">I8-I9</f>
        <v>1007400</v>
      </c>
      <c r="J10" s="22" t="n">
        <f aca="false">J8-J9</f>
        <v>1353000</v>
      </c>
    </row>
    <row r="11" customFormat="false" ht="15" hidden="false" customHeight="false" outlineLevel="0" collapsed="false">
      <c r="B11" s="7" t="s">
        <v>47</v>
      </c>
      <c r="C11" s="23" t="n">
        <f aca="false">C8/C9</f>
        <v>0.9216</v>
      </c>
      <c r="D11" s="23" t="n">
        <f aca="false">D8/D9</f>
        <v>1.47456</v>
      </c>
      <c r="E11" s="23" t="n">
        <f aca="false">E8/E9</f>
        <v>1.8432</v>
      </c>
      <c r="F11" s="23" t="n">
        <f aca="false">F8/F9</f>
        <v>2.21184</v>
      </c>
      <c r="G11" s="23" t="n">
        <f aca="false">G8/G9</f>
        <v>2.7648</v>
      </c>
      <c r="H11" s="23" t="n">
        <f aca="false">H8/H9</f>
        <v>3.31776</v>
      </c>
      <c r="I11" s="23" t="n">
        <f aca="false">I8/I9</f>
        <v>3.6864</v>
      </c>
      <c r="J11" s="23" t="n">
        <f aca="false">J8/J9</f>
        <v>4.608</v>
      </c>
    </row>
    <row r="14" customFormat="false" ht="15" hidden="false" customHeight="false" outlineLevel="0" collapsed="false">
      <c r="B14" s="3" t="s">
        <v>48</v>
      </c>
    </row>
    <row r="16" customFormat="false" ht="15" hidden="false" customHeight="false" outlineLevel="0" collapsed="false">
      <c r="B16" s="24" t="s">
        <v>49</v>
      </c>
      <c r="C16" s="24"/>
      <c r="D16" s="24"/>
      <c r="E16" s="24"/>
      <c r="F16" s="24"/>
      <c r="G16" s="24"/>
      <c r="H16" s="24"/>
      <c r="I16" s="24"/>
      <c r="J16" s="24"/>
      <c r="K16" s="24"/>
    </row>
    <row r="17" customFormat="false" ht="15" hidden="false" customHeight="false" outlineLevel="0" collapsed="false">
      <c r="B17" s="24" t="s">
        <v>50</v>
      </c>
      <c r="C17" s="24"/>
      <c r="D17" s="24"/>
      <c r="E17" s="24"/>
      <c r="F17" s="24"/>
      <c r="G17" s="24"/>
      <c r="H17" s="24"/>
      <c r="I17" s="24"/>
      <c r="J17" s="24"/>
      <c r="K17" s="24"/>
    </row>
    <row r="18" customFormat="false" ht="15" hidden="false" customHeight="false" outlineLevel="0" collapsed="false">
      <c r="B18" s="24" t="s">
        <v>51</v>
      </c>
      <c r="C18" s="24"/>
      <c r="D18" s="24"/>
      <c r="E18" s="24"/>
      <c r="F18" s="24"/>
      <c r="G18" s="24"/>
      <c r="H18" s="24"/>
      <c r="I18" s="24"/>
      <c r="J18" s="24"/>
      <c r="K18" s="24"/>
    </row>
    <row r="19" customFormat="false" ht="15" hidden="false" customHeight="false" outlineLevel="0" collapsed="false">
      <c r="B19" s="24" t="s">
        <v>52</v>
      </c>
      <c r="C19" s="24"/>
      <c r="D19" s="24"/>
      <c r="E19" s="24"/>
      <c r="F19" s="24"/>
      <c r="G19" s="24"/>
      <c r="H19" s="24"/>
      <c r="I19" s="24"/>
      <c r="J19" s="24"/>
      <c r="K19" s="24"/>
    </row>
  </sheetData>
  <mergeCells count="4">
    <mergeCell ref="B16:K16"/>
    <mergeCell ref="B17:K17"/>
    <mergeCell ref="B18:K18"/>
    <mergeCell ref="B19:K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15" min="3" style="0" width="12"/>
  </cols>
  <sheetData>
    <row r="2" customFormat="false" ht="17.35" hidden="false" customHeight="false" outlineLevel="0" collapsed="false">
      <c r="B2" s="1" t="s">
        <v>53</v>
      </c>
    </row>
    <row r="3" customFormat="false" ht="15" hidden="false" customHeight="false" outlineLevel="0" collapsed="false">
      <c r="B3" s="2" t="s">
        <v>54</v>
      </c>
    </row>
    <row r="6" customFormat="false" ht="15" hidden="false" customHeight="false" outlineLevel="0" collapsed="false">
      <c r="B6" s="19" t="s">
        <v>55</v>
      </c>
      <c r="C6" s="6" t="s">
        <v>56</v>
      </c>
      <c r="D6" s="6" t="s">
        <v>57</v>
      </c>
      <c r="E6" s="6" t="s">
        <v>58</v>
      </c>
      <c r="F6" s="6" t="s">
        <v>59</v>
      </c>
      <c r="G6" s="6" t="s">
        <v>60</v>
      </c>
      <c r="H6" s="6" t="s">
        <v>61</v>
      </c>
      <c r="I6" s="6" t="s">
        <v>62</v>
      </c>
      <c r="J6" s="6" t="s">
        <v>63</v>
      </c>
      <c r="K6" s="6" t="s">
        <v>64</v>
      </c>
      <c r="L6" s="6" t="s">
        <v>65</v>
      </c>
      <c r="M6" s="6" t="s">
        <v>66</v>
      </c>
      <c r="N6" s="6" t="s">
        <v>67</v>
      </c>
      <c r="O6" s="6" t="s">
        <v>68</v>
      </c>
    </row>
    <row r="8" customFormat="false" ht="15" hidden="false" customHeight="false" outlineLevel="0" collapsed="false">
      <c r="B8" s="25" t="s">
        <v>69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9" customFormat="false" ht="15" hidden="false" customHeight="false" outlineLevel="0" collapsed="false">
      <c r="B9" s="0" t="s">
        <v>70</v>
      </c>
      <c r="C9" s="21" t="n">
        <f aca="false">Inputs!C20/12*0.5</f>
        <v>2500</v>
      </c>
      <c r="D9" s="21" t="n">
        <f aca="false">Inputs!C20/12*0.58</f>
        <v>2900</v>
      </c>
      <c r="E9" s="21" t="n">
        <f aca="false">Inputs!C20/12*0.67</f>
        <v>3350</v>
      </c>
      <c r="F9" s="21" t="n">
        <f aca="false">Inputs!C20/12*0.75</f>
        <v>3750</v>
      </c>
      <c r="G9" s="21" t="n">
        <f aca="false">Inputs!C20/12*0.83</f>
        <v>4150</v>
      </c>
      <c r="H9" s="21" t="n">
        <f aca="false">Inputs!C20/12*0.92</f>
        <v>4600</v>
      </c>
      <c r="I9" s="21" t="n">
        <f aca="false">Inputs!C20/12*1</f>
        <v>5000</v>
      </c>
      <c r="J9" s="21" t="n">
        <f aca="false">Inputs!C20/12*1</f>
        <v>5000</v>
      </c>
      <c r="K9" s="21" t="n">
        <f aca="false">Inputs!C20/12*1</f>
        <v>5000</v>
      </c>
      <c r="L9" s="21" t="n">
        <f aca="false">Inputs!C20/12*1</f>
        <v>5000</v>
      </c>
      <c r="M9" s="21" t="n">
        <f aca="false">Inputs!C20/12*1</f>
        <v>5000</v>
      </c>
      <c r="N9" s="21" t="n">
        <f aca="false">Inputs!C20/12*1</f>
        <v>5000</v>
      </c>
      <c r="O9" s="14" t="n">
        <f aca="false">SUM(C9:N9)</f>
        <v>51250</v>
      </c>
    </row>
    <row r="10" customFormat="false" ht="15" hidden="false" customHeight="false" outlineLevel="0" collapsed="false">
      <c r="B10" s="0" t="s">
        <v>71</v>
      </c>
      <c r="C10" s="26" t="n">
        <f aca="false">C9</f>
        <v>2500</v>
      </c>
      <c r="D10" s="26" t="n">
        <f aca="false">C10+D9</f>
        <v>5400</v>
      </c>
      <c r="E10" s="26" t="n">
        <f aca="false">D10+E9</f>
        <v>8750</v>
      </c>
      <c r="F10" s="26" t="n">
        <f aca="false">E10+F9</f>
        <v>12500</v>
      </c>
      <c r="G10" s="26" t="n">
        <f aca="false">F10+G9</f>
        <v>16650</v>
      </c>
      <c r="H10" s="26" t="n">
        <f aca="false">G10+H9</f>
        <v>21250</v>
      </c>
      <c r="I10" s="26" t="n">
        <f aca="false">H10+I9</f>
        <v>26250</v>
      </c>
      <c r="J10" s="26" t="n">
        <f aca="false">I10+J9</f>
        <v>31250</v>
      </c>
      <c r="K10" s="26" t="n">
        <f aca="false">J10+K9</f>
        <v>36250</v>
      </c>
      <c r="L10" s="26" t="n">
        <f aca="false">K10+L9</f>
        <v>41250</v>
      </c>
      <c r="M10" s="26" t="n">
        <f aca="false">L10+M9</f>
        <v>46250</v>
      </c>
      <c r="N10" s="26" t="n">
        <f aca="false">M10+N9</f>
        <v>51250</v>
      </c>
    </row>
    <row r="12" customFormat="false" ht="15" hidden="false" customHeight="false" outlineLevel="0" collapsed="false">
      <c r="B12" s="25" t="s">
        <v>72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customFormat="false" ht="15" hidden="false" customHeight="false" outlineLevel="0" collapsed="false">
      <c r="B13" s="0" t="s">
        <v>70</v>
      </c>
      <c r="C13" s="21" t="n">
        <f aca="false">Inputs!D20/12*0.5</f>
        <v>3958.33333333333</v>
      </c>
      <c r="D13" s="21" t="n">
        <f aca="false">Inputs!D20/12*0.58</f>
        <v>4591.66666666667</v>
      </c>
      <c r="E13" s="21" t="n">
        <f aca="false">Inputs!D20/12*0.67</f>
        <v>5304.16666666667</v>
      </c>
      <c r="F13" s="21" t="n">
        <f aca="false">Inputs!D20/12*0.75</f>
        <v>5937.5</v>
      </c>
      <c r="G13" s="21" t="n">
        <f aca="false">Inputs!D20/12*0.83</f>
        <v>6570.83333333333</v>
      </c>
      <c r="H13" s="21" t="n">
        <f aca="false">Inputs!D20/12*0.92</f>
        <v>7283.33333333333</v>
      </c>
      <c r="I13" s="21" t="n">
        <f aca="false">Inputs!D20/12*1</f>
        <v>7916.66666666667</v>
      </c>
      <c r="J13" s="21" t="n">
        <f aca="false">Inputs!D20/12*1</f>
        <v>7916.66666666667</v>
      </c>
      <c r="K13" s="21" t="n">
        <f aca="false">Inputs!D20/12*1</f>
        <v>7916.66666666667</v>
      </c>
      <c r="L13" s="21" t="n">
        <f aca="false">Inputs!D20/12*1</f>
        <v>7916.66666666667</v>
      </c>
      <c r="M13" s="21" t="n">
        <f aca="false">Inputs!D20/12*1</f>
        <v>7916.66666666667</v>
      </c>
      <c r="N13" s="21" t="n">
        <f aca="false">Inputs!D20/12*1</f>
        <v>7916.66666666667</v>
      </c>
      <c r="O13" s="14" t="n">
        <f aca="false">SUM(C13:N13)</f>
        <v>81145.8333333333</v>
      </c>
    </row>
    <row r="14" customFormat="false" ht="15" hidden="false" customHeight="false" outlineLevel="0" collapsed="false">
      <c r="B14" s="0" t="s">
        <v>71</v>
      </c>
      <c r="C14" s="26" t="n">
        <f aca="false">C13</f>
        <v>3958.33333333333</v>
      </c>
      <c r="D14" s="26" t="n">
        <f aca="false">C14+D13</f>
        <v>8550</v>
      </c>
      <c r="E14" s="26" t="n">
        <f aca="false">D14+E13</f>
        <v>13854.1666666667</v>
      </c>
      <c r="F14" s="26" t="n">
        <f aca="false">E14+F13</f>
        <v>19791.6666666667</v>
      </c>
      <c r="G14" s="26" t="n">
        <f aca="false">F14+G13</f>
        <v>26362.5</v>
      </c>
      <c r="H14" s="26" t="n">
        <f aca="false">G14+H13</f>
        <v>33645.8333333333</v>
      </c>
      <c r="I14" s="26" t="n">
        <f aca="false">H14+I13</f>
        <v>41562.5</v>
      </c>
      <c r="J14" s="26" t="n">
        <f aca="false">I14+J13</f>
        <v>49479.1666666667</v>
      </c>
      <c r="K14" s="26" t="n">
        <f aca="false">J14+K13</f>
        <v>57395.8333333333</v>
      </c>
      <c r="L14" s="26" t="n">
        <f aca="false">K14+L13</f>
        <v>65312.5</v>
      </c>
      <c r="M14" s="26" t="n">
        <f aca="false">L14+M13</f>
        <v>73229.1666666667</v>
      </c>
      <c r="N14" s="26" t="n">
        <f aca="false">M14+N13</f>
        <v>81145.8333333333</v>
      </c>
    </row>
    <row r="16" customFormat="false" ht="15" hidden="false" customHeight="false" outlineLevel="0" collapsed="false">
      <c r="B16" s="25" t="s">
        <v>73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</row>
    <row r="17" customFormat="false" ht="15" hidden="false" customHeight="false" outlineLevel="0" collapsed="false">
      <c r="B17" s="0" t="s">
        <v>70</v>
      </c>
      <c r="C17" s="21" t="n">
        <f aca="false">Inputs!E20/12*0.5</f>
        <v>6041.66666666667</v>
      </c>
      <c r="D17" s="21" t="n">
        <f aca="false">Inputs!E20/12*0.58</f>
        <v>7008.33333333333</v>
      </c>
      <c r="E17" s="21" t="n">
        <f aca="false">Inputs!E20/12*0.67</f>
        <v>8095.83333333333</v>
      </c>
      <c r="F17" s="21" t="n">
        <f aca="false">Inputs!E20/12*0.75</f>
        <v>9062.5</v>
      </c>
      <c r="G17" s="21" t="n">
        <f aca="false">Inputs!E20/12*0.83</f>
        <v>10029.1666666667</v>
      </c>
      <c r="H17" s="21" t="n">
        <f aca="false">Inputs!E20/12*0.92</f>
        <v>11116.6666666667</v>
      </c>
      <c r="I17" s="21" t="n">
        <f aca="false">Inputs!E20/12*1</f>
        <v>12083.3333333333</v>
      </c>
      <c r="J17" s="21" t="n">
        <f aca="false">Inputs!E20/12*1</f>
        <v>12083.3333333333</v>
      </c>
      <c r="K17" s="21" t="n">
        <f aca="false">Inputs!E20/12*1</f>
        <v>12083.3333333333</v>
      </c>
      <c r="L17" s="21" t="n">
        <f aca="false">Inputs!E20/12*1</f>
        <v>12083.3333333333</v>
      </c>
      <c r="M17" s="21" t="n">
        <f aca="false">Inputs!E20/12*1</f>
        <v>12083.3333333333</v>
      </c>
      <c r="N17" s="21" t="n">
        <f aca="false">Inputs!E20/12*1</f>
        <v>12083.3333333333</v>
      </c>
      <c r="O17" s="14" t="n">
        <f aca="false">SUM(C17:N17)</f>
        <v>123854.166666667</v>
      </c>
    </row>
    <row r="18" customFormat="false" ht="15" hidden="false" customHeight="false" outlineLevel="0" collapsed="false">
      <c r="B18" s="0" t="s">
        <v>71</v>
      </c>
      <c r="C18" s="26" t="n">
        <f aca="false">C17</f>
        <v>6041.66666666667</v>
      </c>
      <c r="D18" s="26" t="n">
        <f aca="false">C18+D17</f>
        <v>13050</v>
      </c>
      <c r="E18" s="26" t="n">
        <f aca="false">D18+E17</f>
        <v>21145.8333333333</v>
      </c>
      <c r="F18" s="26" t="n">
        <f aca="false">E18+F17</f>
        <v>30208.3333333333</v>
      </c>
      <c r="G18" s="26" t="n">
        <f aca="false">F18+G17</f>
        <v>40237.5</v>
      </c>
      <c r="H18" s="26" t="n">
        <f aca="false">G18+H17</f>
        <v>51354.1666666667</v>
      </c>
      <c r="I18" s="26" t="n">
        <f aca="false">H18+I17</f>
        <v>63437.5</v>
      </c>
      <c r="J18" s="26" t="n">
        <f aca="false">I18+J17</f>
        <v>75520.8333333333</v>
      </c>
      <c r="K18" s="26" t="n">
        <f aca="false">J18+K17</f>
        <v>87604.1666666667</v>
      </c>
      <c r="L18" s="26" t="n">
        <f aca="false">K18+L17</f>
        <v>99687.5</v>
      </c>
      <c r="M18" s="26" t="n">
        <f aca="false">L18+M17</f>
        <v>111770.833333333</v>
      </c>
      <c r="N18" s="26" t="n">
        <f aca="false">M18+N17</f>
        <v>123854.166666667</v>
      </c>
    </row>
    <row r="22" customFormat="false" ht="15" hidden="false" customHeight="false" outlineLevel="0" collapsed="false">
      <c r="B22" s="3" t="s">
        <v>74</v>
      </c>
    </row>
    <row r="23" customFormat="false" ht="15" hidden="false" customHeight="false" outlineLevel="0" collapsed="false">
      <c r="B23" s="24" t="s">
        <v>75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</row>
    <row r="24" customFormat="false" ht="15" hidden="false" customHeight="false" outlineLevel="0" collapsed="false">
      <c r="B24" s="24" t="s">
        <v>76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</row>
    <row r="25" customFormat="false" ht="15" hidden="false" customHeight="false" outlineLevel="0" collapsed="false">
      <c r="B25" s="24" t="s">
        <v>77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</row>
  </sheetData>
  <mergeCells count="6">
    <mergeCell ref="B8:O8"/>
    <mergeCell ref="B12:O12"/>
    <mergeCell ref="B16:O16"/>
    <mergeCell ref="B23:O23"/>
    <mergeCell ref="B24:O24"/>
    <mergeCell ref="B25:O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2026-05-04T15:15:09Z</dcterms:created>
  <dc:creator>openpyxl</dc:creator>
  <dc:description/>
  <dc:language>en-US</dc:language>
  <cp:lastModifiedBy/>
  <dcterms:modified xsi:type="dcterms:W3CDTF">2026-05-04T15:15:09Z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